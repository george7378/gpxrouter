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orge Kristiansen\Downloads\"/>
    </mc:Choice>
  </mc:AlternateContent>
  <xr:revisionPtr revIDLastSave="0" documentId="13_ncr:1_{3AA73B12-FBD2-43BF-9FDC-7D2F54BAB74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light Log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1" l="1"/>
  <c r="G5" i="1"/>
  <c r="H5" i="1"/>
  <c r="K5" i="1" l="1"/>
</calcChain>
</file>

<file path=xl/sharedStrings.xml><?xml version="1.0" encoding="utf-8"?>
<sst xmlns="http://schemas.openxmlformats.org/spreadsheetml/2006/main" count="26" uniqueCount="22">
  <si>
    <t>Variation / °</t>
  </si>
  <si>
    <t>W</t>
  </si>
  <si>
    <t>From / To</t>
  </si>
  <si>
    <t>MSA</t>
  </si>
  <si>
    <t>ALT</t>
  </si>
  <si>
    <t>TAS</t>
  </si>
  <si>
    <t>TRA (T)</t>
  </si>
  <si>
    <t>WV</t>
  </si>
  <si>
    <t>HDG (T)</t>
  </si>
  <si>
    <t>HDG (M)</t>
  </si>
  <si>
    <t>GS</t>
  </si>
  <si>
    <t>DIST</t>
  </si>
  <si>
    <t>TIME</t>
  </si>
  <si>
    <t>ETA</t>
  </si>
  <si>
    <t>ATA</t>
  </si>
  <si>
    <t>Notes</t>
  </si>
  <si>
    <t>kt</t>
  </si>
  <si>
    <t>°</t>
  </si>
  <si>
    <t>° / kt</t>
  </si>
  <si>
    <t>ft</t>
  </si>
  <si>
    <t>nm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</si>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</sst>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"/>
  <sheetViews>
    <sheetView tabSelected="1" workbookViewId="0"/>
  </sheetViews>
  <sheetFormatPr defaultColWidth="9.109375" defaultRowHeight="13.2" x14ac:dyDescent="0.25"/>
  <cols>
    <col min="1" max="1" width="12.109375" style="1" bestFit="1" customWidth="1"/>
    <col min="2" max="13" width="9.109375" style="1"/>
    <col min="14" max="14" width="42.88671875" style="1" customWidth="1"/>
    <col min="15" max="16384" width="9.109375" style="1"/>
  </cols>
  <sheetData>
    <row r="1" spans="1:14" x14ac:dyDescent="0.25">
      <c r="A1" s="3" t="s">
        <v>0</v>
      </c>
      <c r="B1" s="10">
        <v>0</v>
      </c>
      <c r="C1" s="1" t="s">
        <v>1</v>
      </c>
    </row>
    <row r="3" spans="1:14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  <c r="M3" s="2" t="s">
        <v>14</v>
      </c>
      <c r="N3" s="2" t="s">
        <v>15</v>
      </c>
    </row>
    <row r="4" spans="1:14" x14ac:dyDescent="0.25">
      <c r="A4" s="3"/>
      <c r="B4" s="4" t="s">
        <v>19</v>
      </c>
      <c r="C4" s="4" t="s">
        <v>19</v>
      </c>
      <c r="D4" s="4" t="s">
        <v>16</v>
      </c>
      <c r="E4" s="4" t="s">
        <v>17</v>
      </c>
      <c r="F4" s="4" t="s">
        <v>18</v>
      </c>
      <c r="G4" s="4" t="s">
        <v>17</v>
      </c>
      <c r="H4" s="4" t="s">
        <v>17</v>
      </c>
      <c r="I4" s="4" t="s">
        <v>16</v>
      </c>
      <c r="J4" s="4" t="s">
        <v>20</v>
      </c>
      <c r="K4" s="4" t="s">
        <v>21</v>
      </c>
      <c r="L4" s="3"/>
      <c r="M4" s="3"/>
      <c r="N4" s="3"/>
    </row>
    <row r="5" spans="1:14" x14ac:dyDescent="0.25">
      <c r="A5" s="5"/>
      <c r="B5" s="11"/>
      <c r="C5" s="12"/>
      <c r="D5" s="8"/>
      <c r="E5" s="8"/>
      <c r="F5" s="9"/>
      <c r="G5" s="8" t="str">
        <f>IFERROR(calculateTrueHeading(D5,E5,F5,F6), "---")</f>
        <v>---</v>
      </c>
      <c r="H5" s="15" t="str">
        <f>IFERROR(convertAngleTrueToMagnetic(G5, $B$1, $C$1="W"), "---")</f>
        <v>---</v>
      </c>
      <c r="I5" s="15" t="str">
        <f>IFERROR(calculateGroundSpeed(D5,E5,F5,F6), "---")</f>
        <v>---</v>
      </c>
      <c r="J5" s="8"/>
      <c r="K5" s="13" t="str">
        <f>IFERROR(J5/I5*60, "---")</f>
        <v>---</v>
      </c>
      <c r="L5" s="6"/>
      <c r="M5" s="6"/>
      <c r="N5" s="7"/>
    </row>
    <row r="6" spans="1:14" x14ac:dyDescent="0.25">
      <c r="A6" s="5"/>
      <c r="B6" s="11"/>
      <c r="C6" s="12"/>
      <c r="D6" s="8"/>
      <c r="E6" s="8"/>
      <c r="F6" s="9"/>
      <c r="G6" s="8"/>
      <c r="H6" s="15"/>
      <c r="I6" s="15"/>
      <c r="J6" s="8"/>
      <c r="K6" s="14"/>
      <c r="L6" s="6"/>
      <c r="M6" s="6"/>
      <c r="N6" s="7"/>
    </row>
  </sheetData>
  <mergeCells count="12">
    <mergeCell ref="K5:K6"/>
    <mergeCell ref="N5:N6"/>
    <mergeCell ref="H5:H6"/>
    <mergeCell ref="I5:I6"/>
    <mergeCell ref="J5:J6"/>
    <mergeCell ref="L5:L6"/>
    <mergeCell ref="M5:M6"/>
    <mergeCell ref="B5:B6"/>
    <mergeCell ref="C5:C6"/>
    <mergeCell ref="D5:D6"/>
    <mergeCell ref="E5:E6"/>
    <mergeCell ref="G5:G6"/>
  </mergeCells>
  <dataValidations count="7">
    <dataValidation type="list" showInputMessage="1" showErrorMessage="1" sqref="C1" xr:uid="{00000000-0002-0000-0000-000000000000}">
      <formula1>"W, E"</formula1>
    </dataValidation>
    <dataValidation type="whole" operator="greaterThanOrEqual" allowBlank="1" showInputMessage="1" showErrorMessage="1" errorTitle="Invalid Wind Speed value" error="Wind Speed must be an integer greater than or equal to 0 knots." sqref="F6" xr:uid="{00000000-0002-0000-0000-000001000000}">
      <formula1>0</formula1>
    </dataValidation>
    <dataValidation type="decimal" allowBlank="1" showInputMessage="1" showErrorMessage="1" errorTitle="Invalid Variation value" error="Variation must be between 0 and 359.999... degrees." sqref="B1" xr:uid="{00000000-0002-0000-0000-000002000000}">
      <formula1>0</formula1>
      <formula2>360</formula2>
    </dataValidation>
    <dataValidation type="whole" allowBlank="1" showInputMessage="1" showErrorMessage="1" errorTitle="Invalid Wind Direction value" error="Wind Direction must be an integer between 0 and 359 degrees." sqref="F5" xr:uid="{00000000-0002-0000-0000-000003000000}">
      <formula1>0</formula1>
      <formula2>360</formula2>
    </dataValidation>
    <dataValidation type="whole" allowBlank="1" showInputMessage="1" showErrorMessage="1" errorTitle="Invalid Track value" error="Track must be an integer between 0 and 359 degrees." sqref="E5:E6" xr:uid="{00000000-0002-0000-0000-000004000000}">
      <formula1>0</formula1>
      <formula2>360</formula2>
    </dataValidation>
    <dataValidation type="whole" operator="greaterThan" allowBlank="1" showInputMessage="1" showErrorMessage="1" errorTitle="Invalid True Airspeed value" error="True Airspeed must be an integer greater than 0 knots." sqref="D5:D6" xr:uid="{00000000-0002-0000-0000-000005000000}">
      <formula1>0</formula1>
    </dataValidation>
    <dataValidation type="whole" operator="greaterThanOrEqual" allowBlank="1" showInputMessage="1" showErrorMessage="1" sqref="J5:J6" xr:uid="{64FC13A4-59F0-450E-BDB3-9443D80CF2DD}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Flight Log</vt:lpstr>
    </vt:vector>
  </TitlesOfParts>
  <Manager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George Kristiansen</cp:lastModifiedBy>
  <cp:revision/>
  <dcterms:created xsi:type="dcterms:W3CDTF">2017-03-02T08:49:28Z</dcterms:created>
  <dcterms:modified xsi:type="dcterms:W3CDTF">2022-04-01T20:20:08Z</dcterms:modified>
  <cp:category/>
  <cp:contentStatus/>
</cp:coreProperties>
</file>